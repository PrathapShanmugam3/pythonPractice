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Summary" sheetId="2" state="visible" r:id="rId2"/>
  </sheets>
  <definedNames>
    <definedName name="_xlnm._FilterDatabase" localSheetId="0" hidden="1">'Tracker'!$A$1:$J$23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DD003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0031"/>
      </patternFill>
    </fill>
    <fill>
      <patternFill patternType="solid">
        <fgColor rgb="00F4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0" fontId="4" fillId="3" borderId="0" pivotButton="0" quotePrefix="0" xfId="0"/>
    <xf numFmtId="9" fontId="4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Notes/01_Introduction_to_Angular.pdf" TargetMode="External" Id="rId1" /><Relationship Type="http://schemas.openxmlformats.org/officeDocument/2006/relationships/hyperlink" Target="Notes/02_Setup_and_Angular_CLI.pdf" TargetMode="External" Id="rId2" /><Relationship Type="http://schemas.openxmlformats.org/officeDocument/2006/relationships/hyperlink" Target="Notes/03_TypeScript_Essentials.pdf" TargetMode="External" Id="rId3" /><Relationship Type="http://schemas.openxmlformats.org/officeDocument/2006/relationships/hyperlink" Target="Notes/04_Components.pdf" TargetMode="External" Id="rId4" /><Relationship Type="http://schemas.openxmlformats.org/officeDocument/2006/relationships/hyperlink" Target="Notes/05_Data_Binding.pdf" TargetMode="External" Id="rId5" /><Relationship Type="http://schemas.openxmlformats.org/officeDocument/2006/relationships/hyperlink" Target="Notes/06_Control_Flow.pdf" TargetMode="External" Id="rId6" /><Relationship Type="http://schemas.openxmlformats.org/officeDocument/2006/relationships/hyperlink" Target="Notes/07_Directives_and_Styling.pdf" TargetMode="External" Id="rId7" /><Relationship Type="http://schemas.openxmlformats.org/officeDocument/2006/relationships/hyperlink" Target="Notes/08_Signals.pdf" TargetMode="External" Id="rId8" /><Relationship Type="http://schemas.openxmlformats.org/officeDocument/2006/relationships/hyperlink" Target="Notes/09_Component_Communication.pdf" TargetMode="External" Id="rId9" /><Relationship Type="http://schemas.openxmlformats.org/officeDocument/2006/relationships/hyperlink" Target="Notes/10_Pipes.pdf" TargetMode="External" Id="rId10" /><Relationship Type="http://schemas.openxmlformats.org/officeDocument/2006/relationships/hyperlink" Target="Notes/11_Services_and_DI.pdf" TargetMode="External" Id="rId11" /><Relationship Type="http://schemas.openxmlformats.org/officeDocument/2006/relationships/hyperlink" Target="Notes/12_Template_Driven_Forms.pdf" TargetMode="External" Id="rId12" /><Relationship Type="http://schemas.openxmlformats.org/officeDocument/2006/relationships/hyperlink" Target="Notes/13_Reactive_Forms.pdf" TargetMode="External" Id="rId13" /><Relationship Type="http://schemas.openxmlformats.org/officeDocument/2006/relationships/hyperlink" Target="Notes/14_Form_Validation.pdf" TargetMode="External" Id="rId14" /><Relationship Type="http://schemas.openxmlformats.org/officeDocument/2006/relationships/hyperlink" Target="Notes/15_Routing_Basics.pdf" TargetMode="External" Id="rId15" /><Relationship Type="http://schemas.openxmlformats.org/officeDocument/2006/relationships/hyperlink" Target="Notes/16_Route_Params_and_Child_Routes.pdf" TargetMode="External" Id="rId16" /><Relationship Type="http://schemas.openxmlformats.org/officeDocument/2006/relationships/hyperlink" Target="Notes/17_Guards_and_Lazy_Loading.pdf" TargetMode="External" Id="rId17" /><Relationship Type="http://schemas.openxmlformats.org/officeDocument/2006/relationships/hyperlink" Target="Notes/18_HttpClient_and_APIs.pdf" TargetMode="External" Id="rId18" /><Relationship Type="http://schemas.openxmlformats.org/officeDocument/2006/relationships/hyperlink" Target="Notes/19_RxJS_Fundamentals.pdf" TargetMode="External" Id="rId19" /><Relationship Type="http://schemas.openxmlformats.org/officeDocument/2006/relationships/hyperlink" Target="Notes/20_Lifecycle_Hooks.pdf" TargetMode="External" Id="rId20" /><Relationship Type="http://schemas.openxmlformats.org/officeDocument/2006/relationships/hyperlink" Target="Notes/21_Content_Projection_and_ViewChild.pdf" TargetMode="External" Id="rId21" /><Relationship Type="http://schemas.openxmlformats.org/officeDocument/2006/relationships/hyperlink" Target="Notes/22_Custom_Directives.pdf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40" customWidth="1" min="4" max="4"/>
    <col width="44" customWidth="1" min="5" max="5"/>
    <col width="14" customWidth="1" min="6" max="6"/>
    <col width="14" customWidth="1" min="7" max="7"/>
    <col width="15" customWidth="1" min="8" max="8"/>
    <col width="12" customWidth="1" min="9" max="9"/>
    <col width="40" customWidth="1" min="10" max="10"/>
  </cols>
  <sheetData>
    <row r="1">
      <c r="A1" s="1" t="inlineStr">
        <is>
          <t>S.No</t>
        </is>
      </c>
      <c r="B1" s="1" t="inlineStr">
        <is>
          <t>Topic</t>
        </is>
      </c>
      <c r="C1" s="1" t="inlineStr">
        <is>
          <t>Level</t>
        </is>
      </c>
      <c r="D1" s="1" t="inlineStr">
        <is>
          <t>Notes PDF</t>
        </is>
      </c>
      <c r="E1" s="1" t="inlineStr">
        <is>
          <t>Program Files</t>
        </is>
      </c>
      <c r="F1" s="1" t="inlineStr">
        <is>
          <t>Status</t>
        </is>
      </c>
      <c r="G1" s="1" t="inlineStr">
        <is>
          <t>Date Started</t>
        </is>
      </c>
      <c r="H1" s="1" t="inlineStr">
        <is>
          <t>Date Completed</t>
        </is>
      </c>
      <c r="I1" s="1" t="inlineStr">
        <is>
          <t>Confidence (1-5)</t>
        </is>
      </c>
      <c r="J1" s="1" t="inlineStr">
        <is>
          <t>My Notes</t>
        </is>
      </c>
    </row>
    <row r="2">
      <c r="A2" s="2" t="n">
        <v>1</v>
      </c>
      <c r="B2" s="2" t="inlineStr">
        <is>
          <t>Introduction to Angular</t>
        </is>
      </c>
      <c r="C2" s="2" t="inlineStr">
        <is>
          <t>Beginner</t>
        </is>
      </c>
      <c r="D2" s="3" t="inlineStr">
        <is>
          <t>01_Introduction_to_Angular.pdf</t>
        </is>
      </c>
      <c r="E2" s="2" t="inlineStr">
        <is>
          <t>hello-world.component.ts</t>
        </is>
      </c>
      <c r="F2" s="2" t="inlineStr">
        <is>
          <t>Not Started</t>
        </is>
      </c>
      <c r="G2" s="4" t="n"/>
      <c r="H2" s="4" t="n"/>
      <c r="I2" s="2" t="n"/>
      <c r="J2" s="2" t="n"/>
    </row>
    <row r="3">
      <c r="A3" s="2" t="n">
        <v>2</v>
      </c>
      <c r="B3" s="2" t="inlineStr">
        <is>
          <t>Environment Setup and Angular CLI</t>
        </is>
      </c>
      <c r="C3" s="2" t="inlineStr">
        <is>
          <t>Beginner</t>
        </is>
      </c>
      <c r="D3" s="3" t="inlineStr">
        <is>
          <t>02_Setup_and_Angular_CLI.pdf</t>
        </is>
      </c>
      <c r="E3" s="2" t="inlineStr">
        <is>
          <t>app.ts</t>
        </is>
      </c>
      <c r="F3" s="2" t="inlineStr">
        <is>
          <t>Not Started</t>
        </is>
      </c>
      <c r="G3" s="4" t="n"/>
      <c r="H3" s="4" t="n"/>
      <c r="I3" s="2" t="n"/>
      <c r="J3" s="2" t="n"/>
    </row>
    <row r="4">
      <c r="A4" s="2" t="n">
        <v>3</v>
      </c>
      <c r="B4" s="2" t="inlineStr">
        <is>
          <t>TypeScript Essentials</t>
        </is>
      </c>
      <c r="C4" s="2" t="inlineStr">
        <is>
          <t>Beginner</t>
        </is>
      </c>
      <c r="D4" s="3" t="inlineStr">
        <is>
          <t>03_TypeScript_Essentials.pdf</t>
        </is>
      </c>
      <c r="E4" s="2" t="inlineStr">
        <is>
          <t>types-basics.ts, classes-interfaces.ts</t>
        </is>
      </c>
      <c r="F4" s="2" t="inlineStr">
        <is>
          <t>Not Started</t>
        </is>
      </c>
      <c r="G4" s="4" t="n"/>
      <c r="H4" s="4" t="n"/>
      <c r="I4" s="2" t="n"/>
      <c r="J4" s="2" t="n"/>
    </row>
    <row r="5">
      <c r="A5" s="2" t="n">
        <v>4</v>
      </c>
      <c r="B5" s="2" t="inlineStr">
        <is>
          <t>Components</t>
        </is>
      </c>
      <c r="C5" s="2" t="inlineStr">
        <is>
          <t>Beginner</t>
        </is>
      </c>
      <c r="D5" s="3" t="inlineStr">
        <is>
          <t>04_Components.pdf</t>
        </is>
      </c>
      <c r="E5" s="2" t="inlineStr">
        <is>
          <t>profile-card.component.ts</t>
        </is>
      </c>
      <c r="F5" s="2" t="inlineStr">
        <is>
          <t>Not Started</t>
        </is>
      </c>
      <c r="G5" s="4" t="n"/>
      <c r="H5" s="4" t="n"/>
      <c r="I5" s="2" t="n"/>
      <c r="J5" s="2" t="n"/>
    </row>
    <row r="6">
      <c r="A6" s="2" t="n">
        <v>5</v>
      </c>
      <c r="B6" s="2" t="inlineStr">
        <is>
          <t>Data Binding</t>
        </is>
      </c>
      <c r="C6" s="2" t="inlineStr">
        <is>
          <t>Beginner</t>
        </is>
      </c>
      <c r="D6" s="3" t="inlineStr">
        <is>
          <t>05_Data_Binding.pdf</t>
        </is>
      </c>
      <c r="E6" s="2" t="inlineStr">
        <is>
          <t>data-binding.component.ts</t>
        </is>
      </c>
      <c r="F6" s="2" t="inlineStr">
        <is>
          <t>Not Started</t>
        </is>
      </c>
      <c r="G6" s="4" t="n"/>
      <c r="H6" s="4" t="n"/>
      <c r="I6" s="2" t="n"/>
      <c r="J6" s="2" t="n"/>
    </row>
    <row r="7">
      <c r="A7" s="2" t="n">
        <v>6</v>
      </c>
      <c r="B7" s="2" t="inlineStr">
        <is>
          <t>Control Flow (@if, @for, @switch)</t>
        </is>
      </c>
      <c r="C7" s="2" t="inlineStr">
        <is>
          <t>Beginner</t>
        </is>
      </c>
      <c r="D7" s="3" t="inlineStr">
        <is>
          <t>06_Control_Flow.pdf</t>
        </is>
      </c>
      <c r="E7" s="2" t="inlineStr">
        <is>
          <t>tea-menu.component.ts</t>
        </is>
      </c>
      <c r="F7" s="2" t="inlineStr">
        <is>
          <t>Not Started</t>
        </is>
      </c>
      <c r="G7" s="4" t="n"/>
      <c r="H7" s="4" t="n"/>
      <c r="I7" s="2" t="n"/>
      <c r="J7" s="2" t="n"/>
    </row>
    <row r="8">
      <c r="A8" s="2" t="n">
        <v>7</v>
      </c>
      <c r="B8" s="2" t="inlineStr">
        <is>
          <t>Directives, Class and Style Binding</t>
        </is>
      </c>
      <c r="C8" s="2" t="inlineStr">
        <is>
          <t>Beginner</t>
        </is>
      </c>
      <c r="D8" s="3" t="inlineStr">
        <is>
          <t>07_Directives_and_Styling.pdf</t>
        </is>
      </c>
      <c r="E8" s="2" t="inlineStr">
        <is>
          <t>dynamic-style.component.ts</t>
        </is>
      </c>
      <c r="F8" s="2" t="inlineStr">
        <is>
          <t>Not Started</t>
        </is>
      </c>
      <c r="G8" s="4" t="n"/>
      <c r="H8" s="4" t="n"/>
      <c r="I8" s="2" t="n"/>
      <c r="J8" s="2" t="n"/>
    </row>
    <row r="9">
      <c r="A9" s="2" t="n">
        <v>8</v>
      </c>
      <c r="B9" s="2" t="inlineStr">
        <is>
          <t>Signals (signal, computed, effect)</t>
        </is>
      </c>
      <c r="C9" s="2" t="inlineStr">
        <is>
          <t>Beginner</t>
        </is>
      </c>
      <c r="D9" s="3" t="inlineStr">
        <is>
          <t>08_Signals.pdf</t>
        </is>
      </c>
      <c r="E9" s="2" t="inlineStr">
        <is>
          <t>cart-signals.component.ts</t>
        </is>
      </c>
      <c r="F9" s="2" t="inlineStr">
        <is>
          <t>Not Started</t>
        </is>
      </c>
      <c r="G9" s="4" t="n"/>
      <c r="H9" s="4" t="n"/>
      <c r="I9" s="2" t="n"/>
      <c r="J9" s="2" t="n"/>
    </row>
    <row r="10">
      <c r="A10" s="2" t="n">
        <v>9</v>
      </c>
      <c r="B10" s="2" t="inlineStr">
        <is>
          <t>Component Communication (input, output, model)</t>
        </is>
      </c>
      <c r="C10" s="2" t="inlineStr">
        <is>
          <t>Beginner</t>
        </is>
      </c>
      <c r="D10" s="3" t="inlineStr">
        <is>
          <t>09_Component_Communication.pdf</t>
        </is>
      </c>
      <c r="E10" s="2" t="inlineStr">
        <is>
          <t>like-button.component.ts</t>
        </is>
      </c>
      <c r="F10" s="2" t="inlineStr">
        <is>
          <t>Not Started</t>
        </is>
      </c>
      <c r="G10" s="4" t="n"/>
      <c r="H10" s="4" t="n"/>
      <c r="I10" s="2" t="n"/>
      <c r="J10" s="2" t="n"/>
    </row>
    <row r="11">
      <c r="A11" s="2" t="n">
        <v>10</v>
      </c>
      <c r="B11" s="2" t="inlineStr">
        <is>
          <t>Pipes</t>
        </is>
      </c>
      <c r="C11" s="2" t="inlineStr">
        <is>
          <t>Beginner</t>
        </is>
      </c>
      <c r="D11" s="3" t="inlineStr">
        <is>
          <t>10_Pipes.pdf</t>
        </is>
      </c>
      <c r="E11" s="2" t="inlineStr">
        <is>
          <t>pipes-demo.component.ts</t>
        </is>
      </c>
      <c r="F11" s="2" t="inlineStr">
        <is>
          <t>Not Started</t>
        </is>
      </c>
      <c r="G11" s="4" t="n"/>
      <c r="H11" s="4" t="n"/>
      <c r="I11" s="2" t="n"/>
      <c r="J11" s="2" t="n"/>
    </row>
    <row r="12">
      <c r="A12" s="2" t="n">
        <v>11</v>
      </c>
      <c r="B12" s="2" t="inlineStr">
        <is>
          <t>Services and Dependency Injection</t>
        </is>
      </c>
      <c r="C12" s="2" t="inlineStr">
        <is>
          <t>Intermediate</t>
        </is>
      </c>
      <c r="D12" s="3" t="inlineStr">
        <is>
          <t>11_Services_and_DI.pdf</t>
        </is>
      </c>
      <c r="E12" s="2" t="inlineStr">
        <is>
          <t>cart-service.component.ts</t>
        </is>
      </c>
      <c r="F12" s="2" t="inlineStr">
        <is>
          <t>Not Started</t>
        </is>
      </c>
      <c r="G12" s="4" t="n"/>
      <c r="H12" s="4" t="n"/>
      <c r="I12" s="2" t="n"/>
      <c r="J12" s="2" t="n"/>
    </row>
    <row r="13">
      <c r="A13" s="2" t="n">
        <v>12</v>
      </c>
      <c r="B13" s="2" t="inlineStr">
        <is>
          <t>Template-Driven Forms</t>
        </is>
      </c>
      <c r="C13" s="2" t="inlineStr">
        <is>
          <t>Intermediate</t>
        </is>
      </c>
      <c r="D13" s="3" t="inlineStr">
        <is>
          <t>12_Template_Driven_Forms.pdf</t>
        </is>
      </c>
      <c r="E13" s="2" t="inlineStr">
        <is>
          <t>register-form.component.ts</t>
        </is>
      </c>
      <c r="F13" s="2" t="inlineStr">
        <is>
          <t>Not Started</t>
        </is>
      </c>
      <c r="G13" s="4" t="n"/>
      <c r="H13" s="4" t="n"/>
      <c r="I13" s="2" t="n"/>
      <c r="J13" s="2" t="n"/>
    </row>
    <row r="14">
      <c r="A14" s="2" t="n">
        <v>13</v>
      </c>
      <c r="B14" s="2" t="inlineStr">
        <is>
          <t>Reactive Forms</t>
        </is>
      </c>
      <c r="C14" s="2" t="inlineStr">
        <is>
          <t>Intermediate</t>
        </is>
      </c>
      <c r="D14" s="3" t="inlineStr">
        <is>
          <t>13_Reactive_Forms.pdf</t>
        </is>
      </c>
      <c r="E14" s="2" t="inlineStr">
        <is>
          <t>reactive-form.component.ts</t>
        </is>
      </c>
      <c r="F14" s="2" t="inlineStr">
        <is>
          <t>Not Started</t>
        </is>
      </c>
      <c r="G14" s="4" t="n"/>
      <c r="H14" s="4" t="n"/>
      <c r="I14" s="2" t="n"/>
      <c r="J14" s="2" t="n"/>
    </row>
    <row r="15">
      <c r="A15" s="2" t="n">
        <v>14</v>
      </c>
      <c r="B15" s="2" t="inlineStr">
        <is>
          <t>Form Validation and Custom Validators</t>
        </is>
      </c>
      <c r="C15" s="2" t="inlineStr">
        <is>
          <t>Intermediate</t>
        </is>
      </c>
      <c r="D15" s="3" t="inlineStr">
        <is>
          <t>14_Form_Validation.pdf</t>
        </is>
      </c>
      <c r="E15" s="2" t="inlineStr">
        <is>
          <t>signup-validators.component.ts</t>
        </is>
      </c>
      <c r="F15" s="2" t="inlineStr">
        <is>
          <t>Not Started</t>
        </is>
      </c>
      <c r="G15" s="4" t="n"/>
      <c r="H15" s="4" t="n"/>
      <c r="I15" s="2" t="n"/>
      <c r="J15" s="2" t="n"/>
    </row>
    <row r="16">
      <c r="A16" s="2" t="n">
        <v>15</v>
      </c>
      <c r="B16" s="2" t="inlineStr">
        <is>
          <t>Routing Basics</t>
        </is>
      </c>
      <c r="C16" s="2" t="inlineStr">
        <is>
          <t>Intermediate</t>
        </is>
      </c>
      <c r="D16" s="3" t="inlineStr">
        <is>
          <t>15_Routing_Basics.pdf</t>
        </is>
      </c>
      <c r="E16" s="2" t="inlineStr">
        <is>
          <t>router-basics.component.ts</t>
        </is>
      </c>
      <c r="F16" s="2" t="inlineStr">
        <is>
          <t>Not Started</t>
        </is>
      </c>
      <c r="G16" s="4" t="n"/>
      <c r="H16" s="4" t="n"/>
      <c r="I16" s="2" t="n"/>
      <c r="J16" s="2" t="n"/>
    </row>
    <row r="17">
      <c r="A17" s="2" t="n">
        <v>16</v>
      </c>
      <c r="B17" s="2" t="inlineStr">
        <is>
          <t>Route Parameters, Query Params and Child Routes</t>
        </is>
      </c>
      <c r="C17" s="2" t="inlineStr">
        <is>
          <t>Intermediate</t>
        </is>
      </c>
      <c r="D17" s="3" t="inlineStr">
        <is>
          <t>16_Route_Params_and_Child_Routes.pdf</t>
        </is>
      </c>
      <c r="E17" s="2" t="inlineStr">
        <is>
          <t>courses-router.component.ts</t>
        </is>
      </c>
      <c r="F17" s="2" t="inlineStr">
        <is>
          <t>Not Started</t>
        </is>
      </c>
      <c r="G17" s="4" t="n"/>
      <c r="H17" s="4" t="n"/>
      <c r="I17" s="2" t="n"/>
      <c r="J17" s="2" t="n"/>
    </row>
    <row r="18">
      <c r="A18" s="2" t="n">
        <v>17</v>
      </c>
      <c r="B18" s="2" t="inlineStr">
        <is>
          <t>Route Guards and Lazy Loading</t>
        </is>
      </c>
      <c r="C18" s="2" t="inlineStr">
        <is>
          <t>Intermediate</t>
        </is>
      </c>
      <c r="D18" s="3" t="inlineStr">
        <is>
          <t>17_Guards_and_Lazy_Loading.pdf</t>
        </is>
      </c>
      <c r="E18" s="2" t="inlineStr">
        <is>
          <t>guarded-app.component.ts, admin.component.ts</t>
        </is>
      </c>
      <c r="F18" s="2" t="inlineStr">
        <is>
          <t>Not Started</t>
        </is>
      </c>
      <c r="G18" s="4" t="n"/>
      <c r="H18" s="4" t="n"/>
      <c r="I18" s="2" t="n"/>
      <c r="J18" s="2" t="n"/>
    </row>
    <row r="19">
      <c r="A19" s="2" t="n">
        <v>18</v>
      </c>
      <c r="B19" s="2" t="inlineStr">
        <is>
          <t>HttpClient and Working with APIs</t>
        </is>
      </c>
      <c r="C19" s="2" t="inlineStr">
        <is>
          <t>Intermediate</t>
        </is>
      </c>
      <c r="D19" s="3" t="inlineStr">
        <is>
          <t>18_HttpClient_and_APIs.pdf</t>
        </is>
      </c>
      <c r="E19" s="2" t="inlineStr">
        <is>
          <t>todo-api.component.ts</t>
        </is>
      </c>
      <c r="F19" s="2" t="inlineStr">
        <is>
          <t>Not Started</t>
        </is>
      </c>
      <c r="G19" s="4" t="n"/>
      <c r="H19" s="4" t="n"/>
      <c r="I19" s="2" t="n"/>
      <c r="J19" s="2" t="n"/>
    </row>
    <row r="20">
      <c r="A20" s="2" t="n">
        <v>19</v>
      </c>
      <c r="B20" s="2" t="inlineStr">
        <is>
          <t>RxJS Fundamentals</t>
        </is>
      </c>
      <c r="C20" s="2" t="inlineStr">
        <is>
          <t>Intermediate</t>
        </is>
      </c>
      <c r="D20" s="3" t="inlineStr">
        <is>
          <t>19_RxJS_Fundamentals.pdf</t>
        </is>
      </c>
      <c r="E20" s="2" t="inlineStr">
        <is>
          <t>rxjs-basics.ts, ticker.component.ts</t>
        </is>
      </c>
      <c r="F20" s="2" t="inlineStr">
        <is>
          <t>Not Started</t>
        </is>
      </c>
      <c r="G20" s="4" t="n"/>
      <c r="H20" s="4" t="n"/>
      <c r="I20" s="2" t="n"/>
      <c r="J20" s="2" t="n"/>
    </row>
    <row r="21">
      <c r="A21" s="2" t="n">
        <v>20</v>
      </c>
      <c r="B21" s="2" t="inlineStr">
        <is>
          <t>Component Lifecycle Hooks</t>
        </is>
      </c>
      <c r="C21" s="2" t="inlineStr">
        <is>
          <t>Intermediate</t>
        </is>
      </c>
      <c r="D21" s="3" t="inlineStr">
        <is>
          <t>20_Lifecycle_Hooks.pdf</t>
        </is>
      </c>
      <c r="E21" s="2" t="inlineStr">
        <is>
          <t>lifecycle-logger.component.ts</t>
        </is>
      </c>
      <c r="F21" s="2" t="inlineStr">
        <is>
          <t>Not Started</t>
        </is>
      </c>
      <c r="G21" s="4" t="n"/>
      <c r="H21" s="4" t="n"/>
      <c r="I21" s="2" t="n"/>
      <c r="J21" s="2" t="n"/>
    </row>
    <row r="22">
      <c r="A22" s="2" t="n">
        <v>21</v>
      </c>
      <c r="B22" s="2" t="inlineStr">
        <is>
          <t>Content Projection and ViewChild</t>
        </is>
      </c>
      <c r="C22" s="2" t="inlineStr">
        <is>
          <t>Intermediate</t>
        </is>
      </c>
      <c r="D22" s="3" t="inlineStr">
        <is>
          <t>21_Content_Projection_and_ViewChild.pdf</t>
        </is>
      </c>
      <c r="E22" s="2" t="inlineStr">
        <is>
          <t>card-projection.component.ts</t>
        </is>
      </c>
      <c r="F22" s="2" t="inlineStr">
        <is>
          <t>Not Started</t>
        </is>
      </c>
      <c r="G22" s="4" t="n"/>
      <c r="H22" s="4" t="n"/>
      <c r="I22" s="2" t="n"/>
      <c r="J22" s="2" t="n"/>
    </row>
    <row r="23">
      <c r="A23" s="2" t="n">
        <v>22</v>
      </c>
      <c r="B23" s="2" t="inlineStr">
        <is>
          <t>Custom Directives</t>
        </is>
      </c>
      <c r="C23" s="2" t="inlineStr">
        <is>
          <t>Intermediate</t>
        </is>
      </c>
      <c r="D23" s="3" t="inlineStr">
        <is>
          <t>22_Custom_Directives.pdf</t>
        </is>
      </c>
      <c r="E23" s="2" t="inlineStr">
        <is>
          <t>highlight.directive.ts</t>
        </is>
      </c>
      <c r="F23" s="2" t="inlineStr">
        <is>
          <t>Not Started</t>
        </is>
      </c>
      <c r="G23" s="4" t="n"/>
      <c r="H23" s="4" t="n"/>
      <c r="I23" s="2" t="n"/>
      <c r="J23" s="2" t="n"/>
    </row>
  </sheetData>
  <autoFilter ref="A1:J23"/>
  <conditionalFormatting sqref="F2:F23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dataValidations count="3">
    <dataValidation sqref="F2:F23" showDropDown="0" showInputMessage="0" showErrorMessage="0" allowBlank="0" type="list">
      <formula1>"Not Started,In Progress,Done"</formula1>
    </dataValidation>
    <dataValidation sqref="I2:I23" showDropDown="0" showInputMessage="0" showErrorMessage="0" allowBlank="1" errorTitle="Confidence" error="Enter a whole number from 1 to 5" type="whole" operator="between">
      <formula1>1</formula1>
      <formula2>5</formula2>
    </dataValidation>
    <dataValidation sqref="G2:H23" showDropDown="0" showInputMessage="0" showErrorMessage="0" allowBlank="1" errorTitle="Date" error="Enter a valid date" type="date" operator="greaterThan">
      <formula1>36526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5" t="inlineStr">
        <is>
          <t>Angular - Progress Summary</t>
        </is>
      </c>
    </row>
    <row r="3">
      <c r="A3" s="6" t="inlineStr">
        <is>
          <t>Level</t>
        </is>
      </c>
      <c r="B3" s="6" t="inlineStr">
        <is>
          <t>Total Topics</t>
        </is>
      </c>
      <c r="C3" s="6" t="inlineStr">
        <is>
          <t>Not Started</t>
        </is>
      </c>
      <c r="D3" s="6" t="inlineStr">
        <is>
          <t>In Progress</t>
        </is>
      </c>
      <c r="E3" s="6" t="inlineStr">
        <is>
          <t>Done</t>
        </is>
      </c>
      <c r="F3" s="6" t="inlineStr">
        <is>
          <t>% Completed</t>
        </is>
      </c>
    </row>
    <row r="4">
      <c r="A4" t="inlineStr">
        <is>
          <t>Beginner</t>
        </is>
      </c>
      <c r="B4">
        <f>COUNTIF(Tracker!$C$2:$C$23,A4)</f>
        <v/>
      </c>
      <c r="C4">
        <f>COUNTIFS(Tracker!$C$2:$C$23,A4,Tracker!$F$2:$F$23,"Not Started")</f>
        <v/>
      </c>
      <c r="D4">
        <f>COUNTIFS(Tracker!$C$2:$C$23,A4,Tracker!$F$2:$F$23,"In Progress")</f>
        <v/>
      </c>
      <c r="E4">
        <f>COUNTIFS(Tracker!$C$2:$C$23,A4,Tracker!$F$2:$F$23,"Done")</f>
        <v/>
      </c>
      <c r="F4" s="7">
        <f>IF(B4=0,0,E4/B4)</f>
        <v/>
      </c>
    </row>
    <row r="5">
      <c r="A5" t="inlineStr">
        <is>
          <t>Intermediate</t>
        </is>
      </c>
      <c r="B5">
        <f>COUNTIF(Tracker!$C$2:$C$23,A5)</f>
        <v/>
      </c>
      <c r="C5">
        <f>COUNTIFS(Tracker!$C$2:$C$23,A5,Tracker!$F$2:$F$23,"Not Started")</f>
        <v/>
      </c>
      <c r="D5">
        <f>COUNTIFS(Tracker!$C$2:$C$23,A5,Tracker!$F$2:$F$23,"In Progress")</f>
        <v/>
      </c>
      <c r="E5">
        <f>COUNTIFS(Tracker!$C$2:$C$23,A5,Tracker!$F$2:$F$23,"Done")</f>
        <v/>
      </c>
      <c r="F5" s="7">
        <f>IF(B5=0,0,E5/B5)</f>
        <v/>
      </c>
    </row>
    <row r="6">
      <c r="A6" t="inlineStr">
        <is>
          <t>Advanced</t>
        </is>
      </c>
      <c r="B6">
        <f>COUNTIF(Tracker!$C$2:$C$23,A6)</f>
        <v/>
      </c>
      <c r="C6">
        <f>COUNTIFS(Tracker!$C$2:$C$23,A6,Tracker!$F$2:$F$23,"Not Started")</f>
        <v/>
      </c>
      <c r="D6">
        <f>COUNTIFS(Tracker!$C$2:$C$23,A6,Tracker!$F$2:$F$23,"In Progress")</f>
        <v/>
      </c>
      <c r="E6">
        <f>COUNTIFS(Tracker!$C$2:$C$23,A6,Tracker!$F$2:$F$23,"Done")</f>
        <v/>
      </c>
      <c r="F6" s="7">
        <f>IF(B6=0,0,E6/B6)</f>
        <v/>
      </c>
    </row>
    <row r="7">
      <c r="A7" t="inlineStr">
        <is>
          <t>Master</t>
        </is>
      </c>
      <c r="B7">
        <f>COUNTIF(Tracker!$C$2:$C$23,A7)</f>
        <v/>
      </c>
      <c r="C7">
        <f>COUNTIFS(Tracker!$C$2:$C$23,A7,Tracker!$F$2:$F$23,"Not Started")</f>
        <v/>
      </c>
      <c r="D7">
        <f>COUNTIFS(Tracker!$C$2:$C$23,A7,Tracker!$F$2:$F$23,"In Progress")</f>
        <v/>
      </c>
      <c r="E7">
        <f>COUNTIFS(Tracker!$C$2:$C$23,A7,Tracker!$F$2:$F$23,"Done")</f>
        <v/>
      </c>
      <c r="F7" s="7">
        <f>IF(B7=0,0,E7/B7)</f>
        <v/>
      </c>
    </row>
    <row r="8">
      <c r="A8" s="8" t="inlineStr">
        <is>
          <t>OVERALL</t>
        </is>
      </c>
      <c r="B8" s="8">
        <f>SUM(B4:B7)</f>
        <v/>
      </c>
      <c r="C8" s="8">
        <f>SUM(C4:C7)</f>
        <v/>
      </c>
      <c r="D8" s="8">
        <f>SUM(D4:D7)</f>
        <v/>
      </c>
      <c r="E8" s="8">
        <f>SUM(E4:E7)</f>
        <v/>
      </c>
      <c r="F8" s="9">
        <f>IF(B8=0,0,E8/B8)</f>
        <v/>
      </c>
    </row>
    <row r="10">
      <c r="A10" t="inlineStr">
        <is>
          <t>Average confidence (topics rated)</t>
        </is>
      </c>
      <c r="B10" s="10">
        <f>IFERROR(AVERAGE(Tracker!$I$2:$I$23),"-")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2026-10-02T17:41:00Z</dcterms:created>
  <dcterms:modified xsi:type="dcterms:W3CDTF">2026-10-02T17:41:00Z</dcterms:modified>
</cp:coreProperties>
</file>